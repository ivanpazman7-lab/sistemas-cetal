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13_08_2026\"/>
    </mc:Choice>
  </mc:AlternateContent>
  <xr:revisionPtr revIDLastSave="0" documentId="8_{6E7609DC-C13E-4383-BFCB-13F66D5FF092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2" i="1"/>
  <c r="L27" i="1"/>
  <c r="L24" i="1"/>
  <c r="L25" i="1"/>
  <c r="L26" i="1"/>
  <c r="L28" i="1"/>
  <c r="L23" i="1"/>
  <c r="K24" i="1"/>
  <c r="K25" i="1"/>
  <c r="K26" i="1"/>
  <c r="K27" i="1"/>
  <c r="K28" i="1"/>
  <c r="K23" i="1"/>
  <c r="M16" i="1"/>
  <c r="M15" i="1"/>
  <c r="M14" i="1"/>
  <c r="M13" i="1"/>
  <c r="L16" i="1"/>
  <c r="L15" i="1"/>
  <c r="F31" i="1"/>
  <c r="F30" i="1"/>
  <c r="F29" i="1"/>
  <c r="F28" i="1"/>
  <c r="F27" i="1"/>
  <c r="F26" i="1"/>
  <c r="F13" i="1"/>
  <c r="F11" i="1"/>
  <c r="C22" i="1"/>
  <c r="B22" i="1"/>
  <c r="C15" i="1"/>
  <c r="B15" i="1"/>
  <c r="C9" i="1"/>
  <c r="B9" i="1"/>
</calcChain>
</file>

<file path=xl/sharedStrings.xml><?xml version="1.0" encoding="utf-8"?>
<sst xmlns="http://schemas.openxmlformats.org/spreadsheetml/2006/main" count="46" uniqueCount="44">
  <si>
    <t>SUMA</t>
  </si>
  <si>
    <t>PRODUCTO</t>
  </si>
  <si>
    <t>PROMEDIO</t>
  </si>
  <si>
    <t>CONTAR</t>
  </si>
  <si>
    <t>hola</t>
  </si>
  <si>
    <t>adiós</t>
  </si>
  <si>
    <t>Contar las celdas con números</t>
  </si>
  <si>
    <t>Contar las celdas rellenas</t>
  </si>
  <si>
    <t>SI</t>
  </si>
  <si>
    <t>A</t>
  </si>
  <si>
    <t>B</t>
  </si>
  <si>
    <t>CONTAR.SI</t>
  </si>
  <si>
    <t>Mayores que 0</t>
  </si>
  <si>
    <t>Iguales a 0</t>
  </si>
  <si>
    <t>Menores o iguales a 0</t>
  </si>
  <si>
    <t>Mayores o iguales a 5</t>
  </si>
  <si>
    <t>Iguales a 5</t>
  </si>
  <si>
    <t>Menores que 5</t>
  </si>
  <si>
    <t>Color</t>
  </si>
  <si>
    <t>Código</t>
  </si>
  <si>
    <t>Rojo</t>
  </si>
  <si>
    <t>Verde</t>
  </si>
  <si>
    <t>Amarillo</t>
  </si>
  <si>
    <t>Azul</t>
  </si>
  <si>
    <t>Gris</t>
  </si>
  <si>
    <t>Naranja</t>
  </si>
  <si>
    <t>Violeta</t>
  </si>
  <si>
    <t>Rosa</t>
  </si>
  <si>
    <t>Color con valor</t>
  </si>
  <si>
    <t>Color con valor más alto</t>
  </si>
  <si>
    <t>Color con valor más bajo</t>
  </si>
  <si>
    <t>Fecha</t>
  </si>
  <si>
    <t>DIASEM</t>
  </si>
  <si>
    <t>Día de la semana</t>
  </si>
  <si>
    <t>Contar las celdas con "hola"</t>
  </si>
  <si>
    <t>COLORES</t>
  </si>
  <si>
    <t>DIAS DE LA SEMANA</t>
  </si>
  <si>
    <t>LUNES</t>
  </si>
  <si>
    <t>MARTES</t>
  </si>
  <si>
    <t>MIERCOELS</t>
  </si>
  <si>
    <t>JUEVES</t>
  </si>
  <si>
    <t xml:space="preserve">VIERNES 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</si>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</sst>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2" borderId="15" xfId="0" applyFill="1" applyBorder="1"/>
    <xf numFmtId="0" fontId="0" fillId="0" borderId="16" xfId="0" applyBorder="1"/>
    <xf numFmtId="0" fontId="0" fillId="0" borderId="17" xfId="0" applyBorder="1"/>
    <xf numFmtId="0" fontId="0" fillId="2" borderId="17" xfId="0" applyFill="1" applyBorder="1"/>
    <xf numFmtId="0" fontId="0" fillId="2" borderId="18" xfId="0" applyFill="1" applyBorder="1"/>
    <xf numFmtId="0" fontId="0" fillId="0" borderId="19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0" fillId="0" borderId="1" xfId="0" applyNumberFormat="1" applyBorder="1"/>
    <xf numFmtId="164" fontId="0" fillId="2" borderId="1" xfId="0" applyNumberFormat="1" applyFill="1" applyBorder="1"/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1"/>
  <sheetViews>
    <sheetView tabSelected="1" zoomScale="86" zoomScaleNormal="86" workbookViewId="0">
      <selection activeCell="F27" sqref="F27:H27"/>
    </sheetView>
  </sheetViews>
  <sheetFormatPr baseColWidth="10" defaultRowHeight="15" x14ac:dyDescent="0.25"/>
  <cols>
    <col min="5" max="5" width="28.28515625" customWidth="1"/>
    <col min="6" max="6" width="11.7109375" customWidth="1"/>
    <col min="10" max="10" width="13.42578125" customWidth="1"/>
    <col min="11" max="11" width="12.7109375" customWidth="1"/>
    <col min="12" max="12" width="8.140625" customWidth="1"/>
  </cols>
  <sheetData>
    <row r="1" spans="2:16" ht="15.75" thickBot="1" x14ac:dyDescent="0.3"/>
    <row r="2" spans="2:16" ht="15.75" thickBot="1" x14ac:dyDescent="0.3">
      <c r="J2" s="21" t="s">
        <v>35</v>
      </c>
      <c r="K2" s="22"/>
      <c r="L2" s="22"/>
      <c r="M2" s="23"/>
    </row>
    <row r="3" spans="2:16" x14ac:dyDescent="0.25">
      <c r="B3" s="24" t="s">
        <v>0</v>
      </c>
      <c r="C3" s="25"/>
      <c r="F3" s="32" t="s">
        <v>3</v>
      </c>
      <c r="J3" s="4" t="s">
        <v>18</v>
      </c>
      <c r="K3" s="5" t="s">
        <v>19</v>
      </c>
      <c r="L3" s="6"/>
      <c r="M3" s="7"/>
    </row>
    <row r="4" spans="2:16" x14ac:dyDescent="0.25">
      <c r="B4" s="26">
        <v>2300</v>
      </c>
      <c r="C4" s="26">
        <v>2300</v>
      </c>
      <c r="F4" s="1">
        <v>1</v>
      </c>
      <c r="J4" s="8" t="s">
        <v>20</v>
      </c>
      <c r="K4" s="1">
        <v>2</v>
      </c>
      <c r="L4" s="9"/>
      <c r="M4" s="10"/>
    </row>
    <row r="5" spans="2:16" x14ac:dyDescent="0.25">
      <c r="B5" s="26">
        <v>125</v>
      </c>
      <c r="C5" s="26">
        <v>125</v>
      </c>
      <c r="F5" s="1" t="s">
        <v>4</v>
      </c>
      <c r="J5" s="8" t="s">
        <v>21</v>
      </c>
      <c r="K5" s="1">
        <v>3.5</v>
      </c>
      <c r="L5" s="9"/>
      <c r="M5" s="10"/>
    </row>
    <row r="6" spans="2:16" x14ac:dyDescent="0.25">
      <c r="B6" s="26">
        <v>2354</v>
      </c>
      <c r="C6" s="26">
        <v>2354</v>
      </c>
      <c r="F6" s="1">
        <v>12</v>
      </c>
      <c r="J6" s="8" t="s">
        <v>22</v>
      </c>
      <c r="K6" s="1">
        <v>4.3</v>
      </c>
      <c r="L6" s="9"/>
      <c r="M6" s="10"/>
    </row>
    <row r="7" spans="2:16" x14ac:dyDescent="0.25">
      <c r="B7" s="26">
        <v>1254</v>
      </c>
      <c r="C7" s="26">
        <v>1254</v>
      </c>
      <c r="F7" s="1"/>
      <c r="J7" s="8" t="s">
        <v>25</v>
      </c>
      <c r="K7" s="1">
        <v>5</v>
      </c>
      <c r="L7" s="9"/>
      <c r="M7" s="10"/>
    </row>
    <row r="8" spans="2:16" x14ac:dyDescent="0.25">
      <c r="B8" s="26">
        <v>23</v>
      </c>
      <c r="C8" s="26">
        <v>23</v>
      </c>
      <c r="F8" s="1" t="s">
        <v>4</v>
      </c>
      <c r="J8" s="8" t="s">
        <v>23</v>
      </c>
      <c r="K8" s="1">
        <v>8.5</v>
      </c>
      <c r="L8" s="9"/>
      <c r="M8" s="10"/>
    </row>
    <row r="9" spans="2:16" x14ac:dyDescent="0.25">
      <c r="B9" s="27">
        <f>SUM(B4:B8)</f>
        <v>6056</v>
      </c>
      <c r="C9" s="27">
        <f>SUM(C4:C8)</f>
        <v>6056</v>
      </c>
      <c r="F9" s="1">
        <v>32</v>
      </c>
      <c r="J9" s="8" t="s">
        <v>24</v>
      </c>
      <c r="K9" s="1">
        <v>9.1999999999999993</v>
      </c>
      <c r="L9" s="9"/>
      <c r="M9" s="10"/>
    </row>
    <row r="10" spans="2:16" x14ac:dyDescent="0.25">
      <c r="F10" s="1" t="s">
        <v>5</v>
      </c>
      <c r="J10" s="8" t="s">
        <v>26</v>
      </c>
      <c r="K10" s="1">
        <v>20.399999999999999</v>
      </c>
      <c r="L10" s="9"/>
      <c r="M10" s="10"/>
    </row>
    <row r="11" spans="2:16" x14ac:dyDescent="0.25">
      <c r="B11" s="28" t="s">
        <v>1</v>
      </c>
      <c r="C11" s="29"/>
      <c r="E11" s="2" t="s">
        <v>6</v>
      </c>
      <c r="F11" s="2">
        <f>COUNT(F4:F10)</f>
        <v>3</v>
      </c>
      <c r="J11" s="8" t="s">
        <v>27</v>
      </c>
      <c r="K11" s="1">
        <v>21</v>
      </c>
      <c r="L11" s="9"/>
      <c r="M11" s="10"/>
    </row>
    <row r="12" spans="2:16" x14ac:dyDescent="0.25">
      <c r="B12" s="1">
        <v>32</v>
      </c>
      <c r="C12" s="1">
        <v>32</v>
      </c>
      <c r="E12" s="2" t="s">
        <v>7</v>
      </c>
      <c r="F12" s="2">
        <f>COUNTA(F4:F10)</f>
        <v>6</v>
      </c>
      <c r="J12" s="11"/>
      <c r="K12" s="9"/>
      <c r="L12" s="9"/>
      <c r="M12" s="10"/>
    </row>
    <row r="13" spans="2:16" x14ac:dyDescent="0.25">
      <c r="B13" s="1">
        <v>10</v>
      </c>
      <c r="C13" s="1">
        <v>10</v>
      </c>
      <c r="E13" s="2" t="s">
        <v>34</v>
      </c>
      <c r="F13" s="2">
        <f>COUNTIF(F4:F10, "hola")</f>
        <v>2</v>
      </c>
      <c r="J13" s="8" t="s">
        <v>28</v>
      </c>
      <c r="K13" s="1"/>
      <c r="L13" s="1">
        <v>3.5</v>
      </c>
      <c r="M13" s="12" t="str">
        <f>LOOKUP(L13,K4:K11,J4:J11)</f>
        <v>Verde</v>
      </c>
    </row>
    <row r="14" spans="2:16" x14ac:dyDescent="0.25">
      <c r="B14" s="1">
        <v>3</v>
      </c>
      <c r="C14" s="1">
        <v>3</v>
      </c>
      <c r="J14" s="8" t="s">
        <v>28</v>
      </c>
      <c r="K14" s="1"/>
      <c r="L14" s="1">
        <v>9.1999999999999993</v>
      </c>
      <c r="M14" s="12" t="str">
        <f>LOOKUP(L14,K4:K11,J4:J11)</f>
        <v>Gris</v>
      </c>
    </row>
    <row r="15" spans="2:16" x14ac:dyDescent="0.25">
      <c r="B15" s="2">
        <f>PRODUCT(B12:B14)</f>
        <v>960</v>
      </c>
      <c r="C15" s="2">
        <f>(C12*C13*C14)</f>
        <v>960</v>
      </c>
      <c r="J15" s="8" t="s">
        <v>29</v>
      </c>
      <c r="K15" s="1"/>
      <c r="L15" s="2">
        <f>MAX(K4:K11)</f>
        <v>21</v>
      </c>
      <c r="M15" s="12" t="str">
        <f>LOOKUP(L15,K4:K11,J4:J11)</f>
        <v>Rosa</v>
      </c>
    </row>
    <row r="16" spans="2:16" ht="15.75" thickBot="1" x14ac:dyDescent="0.3">
      <c r="F16" s="33" t="s">
        <v>8</v>
      </c>
      <c r="G16" s="34"/>
      <c r="J16" s="13" t="s">
        <v>30</v>
      </c>
      <c r="K16" s="14"/>
      <c r="L16" s="15">
        <f>MIN(K4:K11)</f>
        <v>2</v>
      </c>
      <c r="M16" s="16" t="str">
        <f>LOOKUP(L16,K4:K11,J4:J11)</f>
        <v>Rojo</v>
      </c>
      <c r="O16">
        <v>1</v>
      </c>
      <c r="P16" t="s">
        <v>37</v>
      </c>
    </row>
    <row r="17" spans="2:16" x14ac:dyDescent="0.25">
      <c r="B17" s="30" t="s">
        <v>2</v>
      </c>
      <c r="C17" s="31"/>
      <c r="F17" s="1" t="s">
        <v>9</v>
      </c>
      <c r="G17" s="1">
        <v>15</v>
      </c>
      <c r="O17">
        <v>2</v>
      </c>
      <c r="P17" t="s">
        <v>38</v>
      </c>
    </row>
    <row r="18" spans="2:16" x14ac:dyDescent="0.25">
      <c r="B18" s="1">
        <v>6</v>
      </c>
      <c r="C18" s="1">
        <v>6</v>
      </c>
      <c r="F18" s="1" t="s">
        <v>10</v>
      </c>
      <c r="G18" s="1">
        <v>53</v>
      </c>
      <c r="O18">
        <v>3</v>
      </c>
      <c r="P18" t="s">
        <v>39</v>
      </c>
    </row>
    <row r="19" spans="2:16" x14ac:dyDescent="0.25">
      <c r="B19" s="1">
        <v>8</v>
      </c>
      <c r="C19" s="1">
        <v>8</v>
      </c>
      <c r="F19" s="38" t="str">
        <f>IF(G17&gt;G18,"A ES MAYOR QUE B","B ES MAYOR O IGUAL QUE A")</f>
        <v>B ES MAYOR O IGUAL QUE A</v>
      </c>
      <c r="G19" s="39"/>
      <c r="O19">
        <v>4</v>
      </c>
      <c r="P19" t="s">
        <v>40</v>
      </c>
    </row>
    <row r="20" spans="2:16" ht="15.75" thickBot="1" x14ac:dyDescent="0.3">
      <c r="B20" s="1">
        <v>9</v>
      </c>
      <c r="C20" s="1">
        <v>9</v>
      </c>
      <c r="O20">
        <v>5</v>
      </c>
      <c r="P20" t="s">
        <v>41</v>
      </c>
    </row>
    <row r="21" spans="2:16" ht="15.75" thickBot="1" x14ac:dyDescent="0.3">
      <c r="B21" s="1">
        <v>5</v>
      </c>
      <c r="C21" s="1">
        <v>5</v>
      </c>
      <c r="J21" s="21" t="s">
        <v>36</v>
      </c>
      <c r="K21" s="22"/>
      <c r="L21" s="22"/>
      <c r="M21" s="23"/>
      <c r="O21">
        <v>6</v>
      </c>
      <c r="P21" t="s">
        <v>42</v>
      </c>
    </row>
    <row r="22" spans="2:16" x14ac:dyDescent="0.25">
      <c r="B22" s="2">
        <f>AVERAGE(B18:B21)</f>
        <v>7</v>
      </c>
      <c r="C22" s="2">
        <f>(C18+C19+C20+C21)/4</f>
        <v>7</v>
      </c>
      <c r="F22" s="35" t="s">
        <v>11</v>
      </c>
      <c r="G22" s="36"/>
      <c r="H22" s="37"/>
      <c r="J22" s="17" t="s">
        <v>31</v>
      </c>
      <c r="K22" s="17" t="s">
        <v>32</v>
      </c>
      <c r="L22" s="17" t="s">
        <v>33</v>
      </c>
      <c r="M22" s="17"/>
      <c r="O22">
        <v>7</v>
      </c>
      <c r="P22" t="s">
        <v>43</v>
      </c>
    </row>
    <row r="23" spans="2:16" x14ac:dyDescent="0.25">
      <c r="F23" s="1">
        <v>0</v>
      </c>
      <c r="G23" s="1">
        <v>23</v>
      </c>
      <c r="H23" s="1">
        <v>45</v>
      </c>
      <c r="J23" s="3">
        <v>43157</v>
      </c>
      <c r="K23" s="2">
        <f>WEEKDAY(J23,2)</f>
        <v>1</v>
      </c>
      <c r="L23" s="18" t="str">
        <f>LOOKUP(K23,O16:O22,P16:P22)</f>
        <v>LUNES</v>
      </c>
      <c r="M23" s="20"/>
    </row>
    <row r="24" spans="2:16" x14ac:dyDescent="0.25">
      <c r="F24" s="1">
        <v>10</v>
      </c>
      <c r="G24" s="1">
        <v>5</v>
      </c>
      <c r="H24" s="1">
        <v>4</v>
      </c>
      <c r="J24" s="3">
        <v>43984</v>
      </c>
      <c r="K24" s="2">
        <f t="shared" ref="K24:K28" si="0">WEEKDAY(J24,2)</f>
        <v>2</v>
      </c>
      <c r="L24" s="18" t="str">
        <f t="shared" ref="L24:L28" si="1">LOOKUP(K24,O17:O23,P17:P23)</f>
        <v>MARTES</v>
      </c>
      <c r="M24" s="20"/>
    </row>
    <row r="25" spans="2:16" x14ac:dyDescent="0.25">
      <c r="F25" s="1">
        <v>1</v>
      </c>
      <c r="G25" s="1">
        <v>6</v>
      </c>
      <c r="H25" s="1">
        <v>5</v>
      </c>
      <c r="J25" s="3">
        <v>37440</v>
      </c>
      <c r="K25" s="2">
        <f t="shared" si="0"/>
        <v>3</v>
      </c>
      <c r="L25" s="18" t="str">
        <f t="shared" si="1"/>
        <v>MIERCOELS</v>
      </c>
      <c r="M25" s="20"/>
    </row>
    <row r="26" spans="2:16" x14ac:dyDescent="0.25">
      <c r="E26" s="2" t="s">
        <v>12</v>
      </c>
      <c r="F26" s="18">
        <f>COUNTIF(F23:H25,"MAYOR IGUAL 0")</f>
        <v>0</v>
      </c>
      <c r="G26" s="19"/>
      <c r="H26" s="20"/>
      <c r="J26" s="3">
        <v>38822</v>
      </c>
      <c r="K26" s="2">
        <f t="shared" si="0"/>
        <v>6</v>
      </c>
      <c r="L26" s="18" t="str">
        <f t="shared" si="1"/>
        <v>SABADO</v>
      </c>
      <c r="M26" s="20"/>
    </row>
    <row r="27" spans="2:16" x14ac:dyDescent="0.25">
      <c r="E27" s="2" t="s">
        <v>13</v>
      </c>
      <c r="F27" s="18">
        <f>COUNTIF(F23:H25,"&lt;=0")</f>
        <v>1</v>
      </c>
      <c r="G27" s="19"/>
      <c r="H27" s="20"/>
      <c r="J27" s="3">
        <v>39520</v>
      </c>
      <c r="K27" s="2">
        <f t="shared" si="0"/>
        <v>4</v>
      </c>
      <c r="L27" s="18" t="str">
        <f>LOOKUP(K27,O16:O22,P16:P22)</f>
        <v>JUEVES</v>
      </c>
      <c r="M27" s="20"/>
    </row>
    <row r="28" spans="2:16" x14ac:dyDescent="0.25">
      <c r="E28" s="2" t="s">
        <v>14</v>
      </c>
      <c r="F28" s="18">
        <f>COUNTIF(F23:H25,"&lt;=0")</f>
        <v>1</v>
      </c>
      <c r="G28" s="19"/>
      <c r="H28" s="20"/>
      <c r="J28" s="3">
        <v>26615</v>
      </c>
      <c r="K28" s="2">
        <f t="shared" si="0"/>
        <v>7</v>
      </c>
      <c r="L28" s="18" t="str">
        <f t="shared" si="1"/>
        <v>DOMINGO</v>
      </c>
      <c r="M28" s="20"/>
    </row>
    <row r="29" spans="2:16" x14ac:dyDescent="0.25">
      <c r="E29" s="2" t="s">
        <v>15</v>
      </c>
      <c r="F29" s="18">
        <f>COUNTIF(F23:H25,"&gt;=5")</f>
        <v>6</v>
      </c>
      <c r="G29" s="19"/>
      <c r="H29" s="20"/>
    </row>
    <row r="30" spans="2:16" x14ac:dyDescent="0.25">
      <c r="E30" s="2" t="s">
        <v>17</v>
      </c>
      <c r="F30" s="18">
        <f>COUNTIF(F23:H25,"&lt;5")</f>
        <v>3</v>
      </c>
      <c r="G30" s="19"/>
      <c r="H30" s="20"/>
    </row>
    <row r="31" spans="2:16" x14ac:dyDescent="0.25">
      <c r="E31" s="2" t="s">
        <v>16</v>
      </c>
      <c r="F31" s="18">
        <f>COUNTIF(F23:H25,"=5")</f>
        <v>2</v>
      </c>
      <c r="G31" s="19"/>
      <c r="H31" s="20"/>
    </row>
  </sheetData>
  <mergeCells count="20">
    <mergeCell ref="B3:C3"/>
    <mergeCell ref="B11:C11"/>
    <mergeCell ref="B17:C17"/>
    <mergeCell ref="F22:H22"/>
    <mergeCell ref="F31:H31"/>
    <mergeCell ref="F16:G16"/>
    <mergeCell ref="F19:G19"/>
    <mergeCell ref="J2:M2"/>
    <mergeCell ref="F26:H26"/>
    <mergeCell ref="F27:H27"/>
    <mergeCell ref="F28:H28"/>
    <mergeCell ref="F29:H29"/>
    <mergeCell ref="F30:H30"/>
    <mergeCell ref="J21:M21"/>
    <mergeCell ref="L23:M23"/>
    <mergeCell ref="L24:M24"/>
    <mergeCell ref="L25:M25"/>
    <mergeCell ref="L26:M26"/>
    <mergeCell ref="L27:M27"/>
    <mergeCell ref="L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Windows 10</cp:lastModifiedBy>
  <dcterms:created xsi:type="dcterms:W3CDTF">2017-08-30T11:45:54Z</dcterms:created>
  <dcterms:modified xsi:type="dcterms:W3CDTF">2018-09-15T09:25:03Z</dcterms:modified>
</cp:coreProperties>
</file>