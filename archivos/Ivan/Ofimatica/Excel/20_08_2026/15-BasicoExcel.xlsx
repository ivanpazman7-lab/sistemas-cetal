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ui y pabel se aman\Desktop\20-08-2026 excel_ii\"/>
    </mc:Choice>
  </mc:AlternateContent>
  <xr:revisionPtr revIDLastSave="0" documentId="8_{76B9DFC7-22C4-4A68-8786-E2DAC522B8F9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  <c r="I9" i="1"/>
  <c r="I10" i="1"/>
  <c r="I11" i="1"/>
  <c r="I12" i="1"/>
  <c r="I13" i="1"/>
  <c r="I7" i="1"/>
  <c r="H8" i="1"/>
  <c r="H9" i="1"/>
  <c r="H10" i="1"/>
  <c r="H11" i="1"/>
  <c r="H12" i="1"/>
  <c r="H13" i="1"/>
  <c r="H7" i="1"/>
  <c r="G8" i="1"/>
  <c r="G9" i="1"/>
  <c r="G10" i="1"/>
  <c r="G11" i="1"/>
  <c r="G12" i="1"/>
  <c r="G13" i="1"/>
  <c r="G7" i="1"/>
</calcChain>
</file>

<file path=xl/sharedStrings.xml><?xml version="1.0" encoding="utf-8"?>
<sst xmlns="http://schemas.openxmlformats.org/spreadsheetml/2006/main" count="19" uniqueCount="16">
  <si>
    <t>TITULACIÓN</t>
  </si>
  <si>
    <t>Total</t>
  </si>
  <si>
    <t>Mujeres</t>
  </si>
  <si>
    <t>% Mujeres</t>
  </si>
  <si>
    <t>% Hombres</t>
  </si>
  <si>
    <t>REPITEN</t>
  </si>
  <si>
    <t>NUEVOS</t>
  </si>
  <si>
    <t>TOTAL</t>
  </si>
  <si>
    <t>MATRICULAS PRIMER CURSO</t>
  </si>
  <si>
    <t>Arquitectura</t>
  </si>
  <si>
    <t>Ingeniería Informática</t>
  </si>
  <si>
    <t>Ingeniería Química</t>
  </si>
  <si>
    <t>Biología</t>
  </si>
  <si>
    <t>Bioquímica</t>
  </si>
  <si>
    <t>Física</t>
  </si>
  <si>
    <t>Matemáticas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</si>
</sst>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3" borderId="1" xfId="0" applyFill="1" applyBorder="1"/>
    <xf numFmtId="0" fontId="1" fillId="3" borderId="1" xfId="0" applyFont="1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10" borderId="5" xfId="0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0" fillId="10" borderId="7" xfId="0" applyFill="1" applyBorder="1" applyAlignment="1">
      <alignment horizontal="center"/>
    </xf>
    <xf numFmtId="10" fontId="0" fillId="8" borderId="1" xfId="0" applyNumberFormat="1" applyFill="1" applyBorder="1"/>
    <xf numFmtId="10" fontId="0" fillId="9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Alumnos</a:t>
            </a:r>
            <a:r>
              <a:rPr lang="es-BO" baseline="0"/>
              <a:t> Matriculados por Titulación</a:t>
            </a:r>
            <a:endParaRPr lang="es-B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Hoja1!$B$7:$B$13</c:f>
              <c:strCache>
                <c:ptCount val="7"/>
                <c:pt idx="0">
                  <c:v>Arquitectura</c:v>
                </c:pt>
                <c:pt idx="1">
                  <c:v>Ingeniería Informática</c:v>
                </c:pt>
                <c:pt idx="2">
                  <c:v>Ingeniería Química</c:v>
                </c:pt>
                <c:pt idx="3">
                  <c:v>Biología</c:v>
                </c:pt>
                <c:pt idx="4">
                  <c:v>Bioquímica</c:v>
                </c:pt>
                <c:pt idx="5">
                  <c:v>Física</c:v>
                </c:pt>
                <c:pt idx="6">
                  <c:v>Matemáticas</c:v>
                </c:pt>
              </c:strCache>
            </c:strRef>
          </c:cat>
          <c:val>
            <c:numRef>
              <c:f>Hoja1!$G$7:$G$13</c:f>
              <c:numCache>
                <c:formatCode>General</c:formatCode>
                <c:ptCount val="7"/>
                <c:pt idx="0">
                  <c:v>242</c:v>
                </c:pt>
                <c:pt idx="1">
                  <c:v>51</c:v>
                </c:pt>
                <c:pt idx="2">
                  <c:v>177</c:v>
                </c:pt>
                <c:pt idx="3">
                  <c:v>190</c:v>
                </c:pt>
                <c:pt idx="4">
                  <c:v>62</c:v>
                </c:pt>
                <c:pt idx="5">
                  <c:v>22</c:v>
                </c:pt>
                <c:pt idx="6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02-4E29-812C-D81683022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Alumnos Matriculados</a:t>
            </a:r>
            <a:r>
              <a:rPr lang="es-BO" baseline="0"/>
              <a:t> por Sexo y Titulación</a:t>
            </a:r>
            <a:endParaRPr lang="es-B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v>%Mujeres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Hoja1!$B$7:$B$13</c:f>
              <c:strCache>
                <c:ptCount val="7"/>
                <c:pt idx="0">
                  <c:v>Arquitectura</c:v>
                </c:pt>
                <c:pt idx="1">
                  <c:v>Ingeniería Informática</c:v>
                </c:pt>
                <c:pt idx="2">
                  <c:v>Ingeniería Química</c:v>
                </c:pt>
                <c:pt idx="3">
                  <c:v>Biología</c:v>
                </c:pt>
                <c:pt idx="4">
                  <c:v>Bioquímica</c:v>
                </c:pt>
                <c:pt idx="5">
                  <c:v>Física</c:v>
                </c:pt>
                <c:pt idx="6">
                  <c:v>Matemáticas</c:v>
                </c:pt>
              </c:strCache>
            </c:strRef>
          </c:cat>
          <c:val>
            <c:numRef>
              <c:f>Hoja1!$H$7:$H$13</c:f>
              <c:numCache>
                <c:formatCode>0.00%</c:formatCode>
                <c:ptCount val="7"/>
                <c:pt idx="0">
                  <c:v>0.52066115702479343</c:v>
                </c:pt>
                <c:pt idx="1">
                  <c:v>0.72549019607843135</c:v>
                </c:pt>
                <c:pt idx="2">
                  <c:v>0.61016949152542377</c:v>
                </c:pt>
                <c:pt idx="3">
                  <c:v>0.52631578947368418</c:v>
                </c:pt>
                <c:pt idx="4">
                  <c:v>0.30645161290322581</c:v>
                </c:pt>
                <c:pt idx="5">
                  <c:v>0.54545454545454541</c:v>
                </c:pt>
                <c:pt idx="6">
                  <c:v>0.60194174757281549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A4-48C1-91E4-FA885C1B1E01}"/>
            </c:ext>
          </c:extLst>
        </c:ser>
        <c:ser>
          <c:idx val="1"/>
          <c:order val="1"/>
          <c:tx>
            <c:v>%Hombres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Hoja1!$B$7:$B$13</c:f>
              <c:strCache>
                <c:ptCount val="7"/>
                <c:pt idx="0">
                  <c:v>Arquitectura</c:v>
                </c:pt>
                <c:pt idx="1">
                  <c:v>Ingeniería Informática</c:v>
                </c:pt>
                <c:pt idx="2">
                  <c:v>Ingeniería Química</c:v>
                </c:pt>
                <c:pt idx="3">
                  <c:v>Biología</c:v>
                </c:pt>
                <c:pt idx="4">
                  <c:v>Bioquímica</c:v>
                </c:pt>
                <c:pt idx="5">
                  <c:v>Física</c:v>
                </c:pt>
                <c:pt idx="6">
                  <c:v>Matemáticas</c:v>
                </c:pt>
              </c:strCache>
            </c:strRef>
          </c:cat>
          <c:val>
            <c:numRef>
              <c:f>Hoja1!$I$7:$I$13</c:f>
              <c:numCache>
                <c:formatCode>0.00%</c:formatCode>
                <c:ptCount val="7"/>
                <c:pt idx="0">
                  <c:v>0.47933884297520657</c:v>
                </c:pt>
                <c:pt idx="1">
                  <c:v>0.27450980392156865</c:v>
                </c:pt>
                <c:pt idx="2">
                  <c:v>0.38983050847457623</c:v>
                </c:pt>
                <c:pt idx="3">
                  <c:v>0.47368421052631582</c:v>
                </c:pt>
                <c:pt idx="4">
                  <c:v>0.69354838709677424</c:v>
                </c:pt>
                <c:pt idx="5">
                  <c:v>0.45454545454545459</c:v>
                </c:pt>
                <c:pt idx="6">
                  <c:v>0.39805825242718451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A4-48C1-91E4-FA885C1B1E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32195840"/>
        <c:axId val="1632200640"/>
        <c:axId val="0"/>
      </c:bar3DChart>
      <c:catAx>
        <c:axId val="1632195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632200640"/>
        <c:crosses val="autoZero"/>
        <c:auto val="1"/>
        <c:lblAlgn val="ctr"/>
        <c:lblOffset val="100"/>
        <c:noMultiLvlLbl val="0"/>
      </c:catAx>
      <c:valAx>
        <c:axId val="1632200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63219584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25400" cap="flat" cmpd="sng" algn="ctr">
      <a:solidFill>
        <a:schemeClr val="tx1"/>
      </a:solidFill>
      <a:round/>
    </a:ln>
    <a:effectLst>
      <a:outerShdw blurRad="50800" dist="38100" dir="18900000" algn="b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1163410</xdr:colOff>
      <xdr:row>15</xdr:row>
      <xdr:rowOff>9524</xdr:rowOff>
    </xdr:from>
    <xdr:to>
      <xdr:col>4</xdr:col>
      <xdr:colOff>1231446</xdr:colOff>
      <xdr:row>29</xdr:row>
      <xdr:rowOff>85724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396AB41-65C7-93DC-2AB7-E76099F119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370794</xdr:colOff>
      <xdr:row>14</xdr:row>
      <xdr:rowOff>12927</xdr:rowOff>
    </xdr:from>
    <xdr:to>
      <xdr:col>11</xdr:col>
      <xdr:colOff>244929</xdr:colOff>
      <xdr:row>35</xdr:row>
      <xdr:rowOff>3403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8990520-EDE7-E379-774A-25CBD0ACCD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I13"/>
  <sheetViews>
    <sheetView tabSelected="1" zoomScale="55" zoomScaleNormal="55" workbookViewId="0">
      <selection activeCell="M10" sqref="M10"/>
    </sheetView>
  </sheetViews>
  <sheetFormatPr baseColWidth="10" defaultRowHeight="15" x14ac:dyDescent="0.25"/>
  <cols>
    <col min="2" max="2" width="30.42578125" customWidth="1"/>
    <col min="3" max="9" width="18.5703125" customWidth="1"/>
  </cols>
  <sheetData>
    <row r="4" spans="2:9" ht="15.75" x14ac:dyDescent="0.25">
      <c r="B4" s="11" t="s">
        <v>0</v>
      </c>
      <c r="C4" s="1" t="s">
        <v>8</v>
      </c>
      <c r="D4" s="2"/>
      <c r="E4" s="2"/>
      <c r="F4" s="2"/>
      <c r="G4" s="2"/>
      <c r="H4" s="2"/>
      <c r="I4" s="3"/>
    </row>
    <row r="5" spans="2:9" ht="15.75" x14ac:dyDescent="0.25">
      <c r="B5" s="12"/>
      <c r="C5" s="1" t="s">
        <v>5</v>
      </c>
      <c r="D5" s="3"/>
      <c r="E5" s="1" t="s">
        <v>6</v>
      </c>
      <c r="F5" s="3"/>
      <c r="G5" s="1" t="s">
        <v>7</v>
      </c>
      <c r="H5" s="2"/>
      <c r="I5" s="3"/>
    </row>
    <row r="6" spans="2:9" ht="15.75" x14ac:dyDescent="0.25">
      <c r="B6" s="13"/>
      <c r="C6" s="4" t="s">
        <v>1</v>
      </c>
      <c r="D6" s="4" t="s">
        <v>2</v>
      </c>
      <c r="E6" s="4" t="s">
        <v>1</v>
      </c>
      <c r="F6" s="4" t="s">
        <v>2</v>
      </c>
      <c r="G6" s="4" t="s">
        <v>1</v>
      </c>
      <c r="H6" s="4" t="s">
        <v>3</v>
      </c>
      <c r="I6" s="4" t="s">
        <v>4</v>
      </c>
    </row>
    <row r="7" spans="2:9" x14ac:dyDescent="0.25">
      <c r="B7" s="6" t="s">
        <v>9</v>
      </c>
      <c r="C7" s="7">
        <v>10</v>
      </c>
      <c r="D7" s="8">
        <v>2</v>
      </c>
      <c r="E7" s="5">
        <v>232</v>
      </c>
      <c r="F7" s="9">
        <v>124</v>
      </c>
      <c r="G7" s="10">
        <f>C7+E7</f>
        <v>242</v>
      </c>
      <c r="H7" s="14">
        <f>(D7+F7)/G7</f>
        <v>0.52066115702479343</v>
      </c>
      <c r="I7" s="15">
        <f>(1-H7)</f>
        <v>0.47933884297520657</v>
      </c>
    </row>
    <row r="8" spans="2:9" x14ac:dyDescent="0.25">
      <c r="B8" s="6" t="s">
        <v>10</v>
      </c>
      <c r="C8" s="7">
        <v>13</v>
      </c>
      <c r="D8" s="8">
        <v>10</v>
      </c>
      <c r="E8" s="5">
        <v>38</v>
      </c>
      <c r="F8" s="9">
        <v>27</v>
      </c>
      <c r="G8" s="10">
        <f t="shared" ref="G8:G13" si="0">C8+E8</f>
        <v>51</v>
      </c>
      <c r="H8" s="14">
        <f t="shared" ref="H8:H13" si="1">(D8+F8)/G8</f>
        <v>0.72549019607843135</v>
      </c>
      <c r="I8" s="15">
        <f t="shared" ref="I8:I13" si="2">(1-H8)</f>
        <v>0.27450980392156865</v>
      </c>
    </row>
    <row r="9" spans="2:9" x14ac:dyDescent="0.25">
      <c r="B9" s="6" t="s">
        <v>11</v>
      </c>
      <c r="C9" s="7">
        <v>22</v>
      </c>
      <c r="D9" s="8">
        <v>10</v>
      </c>
      <c r="E9" s="5">
        <v>155</v>
      </c>
      <c r="F9" s="9">
        <v>98</v>
      </c>
      <c r="G9" s="10">
        <f t="shared" si="0"/>
        <v>177</v>
      </c>
      <c r="H9" s="14">
        <f t="shared" si="1"/>
        <v>0.61016949152542377</v>
      </c>
      <c r="I9" s="15">
        <f t="shared" si="2"/>
        <v>0.38983050847457623</v>
      </c>
    </row>
    <row r="10" spans="2:9" x14ac:dyDescent="0.25">
      <c r="B10" s="6" t="s">
        <v>12</v>
      </c>
      <c r="C10" s="7">
        <v>22</v>
      </c>
      <c r="D10" s="8">
        <v>9</v>
      </c>
      <c r="E10" s="5">
        <v>168</v>
      </c>
      <c r="F10" s="9">
        <v>91</v>
      </c>
      <c r="G10" s="10">
        <f t="shared" si="0"/>
        <v>190</v>
      </c>
      <c r="H10" s="14">
        <f t="shared" si="1"/>
        <v>0.52631578947368418</v>
      </c>
      <c r="I10" s="15">
        <f t="shared" si="2"/>
        <v>0.47368421052631582</v>
      </c>
    </row>
    <row r="11" spans="2:9" x14ac:dyDescent="0.25">
      <c r="B11" s="6" t="s">
        <v>13</v>
      </c>
      <c r="C11" s="7">
        <v>9</v>
      </c>
      <c r="D11" s="8">
        <v>1</v>
      </c>
      <c r="E11" s="5">
        <v>53</v>
      </c>
      <c r="F11" s="9">
        <v>18</v>
      </c>
      <c r="G11" s="10">
        <f t="shared" si="0"/>
        <v>62</v>
      </c>
      <c r="H11" s="14">
        <f t="shared" si="1"/>
        <v>0.30645161290322581</v>
      </c>
      <c r="I11" s="15">
        <f t="shared" si="2"/>
        <v>0.69354838709677424</v>
      </c>
    </row>
    <row r="12" spans="2:9" x14ac:dyDescent="0.25">
      <c r="B12" s="6" t="s">
        <v>14</v>
      </c>
      <c r="C12" s="7">
        <v>8</v>
      </c>
      <c r="D12" s="8">
        <v>5</v>
      </c>
      <c r="E12" s="5">
        <v>14</v>
      </c>
      <c r="F12" s="9">
        <v>7</v>
      </c>
      <c r="G12" s="10">
        <f t="shared" si="0"/>
        <v>22</v>
      </c>
      <c r="H12" s="14">
        <f t="shared" si="1"/>
        <v>0.54545454545454541</v>
      </c>
      <c r="I12" s="15">
        <f t="shared" si="2"/>
        <v>0.45454545454545459</v>
      </c>
    </row>
    <row r="13" spans="2:9" x14ac:dyDescent="0.25">
      <c r="B13" s="6" t="s">
        <v>15</v>
      </c>
      <c r="C13" s="7">
        <v>4</v>
      </c>
      <c r="D13" s="8">
        <v>4</v>
      </c>
      <c r="E13" s="5">
        <v>99</v>
      </c>
      <c r="F13" s="9">
        <v>58</v>
      </c>
      <c r="G13" s="10">
        <f t="shared" si="0"/>
        <v>103</v>
      </c>
      <c r="H13" s="14">
        <f t="shared" si="1"/>
        <v>0.60194174757281549</v>
      </c>
      <c r="I13" s="15">
        <f t="shared" si="2"/>
        <v>0.39805825242718451</v>
      </c>
    </row>
  </sheetData>
  <mergeCells count="5">
    <mergeCell ref="C4:I4"/>
    <mergeCell ref="B4:B6"/>
    <mergeCell ref="C5:D5"/>
    <mergeCell ref="E5:F5"/>
    <mergeCell ref="G5:I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Justo</dc:creator>
  <cp:lastModifiedBy>chui y pabel se aman</cp:lastModifiedBy>
  <dcterms:created xsi:type="dcterms:W3CDTF">2017-08-25T16:06:01Z</dcterms:created>
  <dcterms:modified xsi:type="dcterms:W3CDTF">2026-08-21T01:29:52Z</dcterms:modified>
</cp:coreProperties>
</file>