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i y pabel se aman\Desktop\20-08-2026 excel_ii\"/>
    </mc:Choice>
  </mc:AlternateContent>
  <xr:revisionPtr revIDLastSave="0" documentId="8_{389B9D61-856A-4C9B-B9C9-D904BA998C5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H6" i="1"/>
  <c r="H7" i="1"/>
  <c r="H8" i="1"/>
  <c r="H9" i="1"/>
  <c r="H10" i="1"/>
  <c r="H11" i="1"/>
  <c r="H5" i="1"/>
  <c r="G6" i="1"/>
  <c r="G7" i="1"/>
  <c r="G8" i="1"/>
  <c r="G9" i="1"/>
  <c r="G10" i="1"/>
  <c r="G11" i="1"/>
  <c r="G5" i="1"/>
</calcChain>
</file>

<file path=xl/sharedStrings.xml><?xml version="1.0" encoding="utf-8"?>
<sst xmlns="http://schemas.openxmlformats.org/spreadsheetml/2006/main" count="31" uniqueCount="26">
  <si>
    <t>Angulo Martín, Fernando</t>
  </si>
  <si>
    <t>Gil Rodríguez, Ana</t>
  </si>
  <si>
    <t>Martín Martín, Agustín</t>
  </si>
  <si>
    <t>Rueda Pérez, María</t>
  </si>
  <si>
    <t>Castilla Vera, Ignacio</t>
  </si>
  <si>
    <t>Rodríguez Fernández, Sara</t>
  </si>
  <si>
    <t>Solana Pérez, José</t>
  </si>
  <si>
    <t>ALUMNOS</t>
  </si>
  <si>
    <t>SEXO</t>
  </si>
  <si>
    <t>PRIMERO</t>
  </si>
  <si>
    <t>SEGUNDO</t>
  </si>
  <si>
    <t>TERCERO</t>
  </si>
  <si>
    <t>TRIMESTRES</t>
  </si>
  <si>
    <t>M</t>
  </si>
  <si>
    <t>H</t>
  </si>
  <si>
    <t>MUY DEFICIENTE</t>
  </si>
  <si>
    <t>INSUFICIENTE</t>
  </si>
  <si>
    <t>SUFICIENTE</t>
  </si>
  <si>
    <t>BIEN</t>
  </si>
  <si>
    <t>NOTABLE</t>
  </si>
  <si>
    <t>SOBRESALIENTE</t>
  </si>
  <si>
    <t>Hombres</t>
  </si>
  <si>
    <t>Mujeres</t>
  </si>
  <si>
    <t>Total</t>
  </si>
  <si>
    <t>MEDIA</t>
  </si>
  <si>
    <t>Media Alfabetica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</si>
</sst>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i/>
        <color rgb="FFC00000"/>
      </font>
      <fill>
        <patternFill>
          <bgColor theme="6" tint="0.59996337778862885"/>
        </patternFill>
      </fill>
    </dxf>
    <dxf>
      <font>
        <b/>
        <i/>
        <color theme="4"/>
      </font>
      <fill>
        <patternFill>
          <bgColor theme="0"/>
        </patternFill>
      </fill>
    </dxf>
    <dxf>
      <font>
        <b/>
        <i/>
        <color rgb="FFC00000"/>
      </font>
      <fill>
        <patternFill>
          <bgColor theme="6" tint="0.59996337778862885"/>
        </patternFill>
      </fill>
    </dxf>
    <dxf>
      <font>
        <b val="0"/>
        <i/>
        <color theme="9" tint="-0.499984740745262"/>
      </font>
      <fill>
        <patternFill>
          <bgColor theme="8" tint="0.59996337778862885"/>
        </patternFill>
      </fill>
    </dxf>
    <dxf>
      <font>
        <b val="0"/>
        <i/>
        <color theme="4" tint="-0.499984740745262"/>
      </font>
      <fill>
        <patternFill>
          <bgColor theme="5" tint="0.59996337778862885"/>
        </patternFill>
      </fill>
    </dxf>
    <dxf>
      <font>
        <b/>
        <i val="0"/>
        <color theme="7"/>
      </font>
      <fill>
        <patternFill>
          <bgColor theme="3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9"/>
  <sheetViews>
    <sheetView tabSelected="1" workbookViewId="0">
      <selection activeCell="H14" sqref="H14"/>
    </sheetView>
  </sheetViews>
  <sheetFormatPr baseColWidth="10" defaultRowHeight="15" x14ac:dyDescent="0.25"/>
  <cols>
    <col min="2" max="2" width="27.5703125" customWidth="1"/>
    <col min="3" max="3" width="5.42578125" customWidth="1"/>
    <col min="8" max="8" width="15" customWidth="1"/>
  </cols>
  <sheetData>
    <row r="3" spans="2:8" x14ac:dyDescent="0.25">
      <c r="B3" s="2" t="s">
        <v>7</v>
      </c>
      <c r="C3" s="3" t="s">
        <v>12</v>
      </c>
      <c r="D3" s="4"/>
      <c r="E3" s="4"/>
      <c r="F3" s="5"/>
      <c r="G3" s="9" t="s">
        <v>24</v>
      </c>
      <c r="H3" s="11" t="s">
        <v>25</v>
      </c>
    </row>
    <row r="4" spans="2:8" x14ac:dyDescent="0.25">
      <c r="B4" s="6"/>
      <c r="C4" s="7" t="s">
        <v>8</v>
      </c>
      <c r="D4" s="7" t="s">
        <v>9</v>
      </c>
      <c r="E4" s="7" t="s">
        <v>10</v>
      </c>
      <c r="F4" s="7" t="s">
        <v>11</v>
      </c>
      <c r="G4" s="10"/>
      <c r="H4" s="11"/>
    </row>
    <row r="5" spans="2:8" x14ac:dyDescent="0.25">
      <c r="B5" s="1" t="s">
        <v>0</v>
      </c>
      <c r="C5" s="1" t="s">
        <v>14</v>
      </c>
      <c r="D5" s="8">
        <v>9</v>
      </c>
      <c r="E5" s="8">
        <v>7</v>
      </c>
      <c r="F5" s="8">
        <v>9</v>
      </c>
      <c r="G5" s="8">
        <f>AVERAGE(D5:F5)</f>
        <v>8.3333333333333339</v>
      </c>
      <c r="H5" s="1" t="str">
        <f>LOOKUP(G5,C$14:C$19,B$14:B19)</f>
        <v>NOTABLE</v>
      </c>
    </row>
    <row r="6" spans="2:8" x14ac:dyDescent="0.25">
      <c r="B6" s="1" t="s">
        <v>1</v>
      </c>
      <c r="C6" s="1" t="s">
        <v>13</v>
      </c>
      <c r="D6" s="8">
        <v>0</v>
      </c>
      <c r="E6" s="8">
        <v>3.5</v>
      </c>
      <c r="F6" s="8">
        <v>6</v>
      </c>
      <c r="G6" s="8">
        <f t="shared" ref="G6:G11" si="0">AVERAGE(D6:F6)</f>
        <v>3.1666666666666665</v>
      </c>
      <c r="H6" s="1" t="str">
        <f ca="1">LOOKUP(G6,C$14:C$19,B$14:B20)</f>
        <v>INSUFICIENTE</v>
      </c>
    </row>
    <row r="7" spans="2:8" x14ac:dyDescent="0.25">
      <c r="B7" s="1" t="s">
        <v>2</v>
      </c>
      <c r="C7" s="1" t="s">
        <v>14</v>
      </c>
      <c r="D7" s="8">
        <v>5</v>
      </c>
      <c r="E7" s="8">
        <v>8</v>
      </c>
      <c r="F7" s="8">
        <v>8</v>
      </c>
      <c r="G7" s="8">
        <f t="shared" si="0"/>
        <v>7</v>
      </c>
      <c r="H7" s="1" t="str">
        <f ca="1">LOOKUP(G7,C$14:C$19,B$14:B21)</f>
        <v>NOTABLE</v>
      </c>
    </row>
    <row r="8" spans="2:8" x14ac:dyDescent="0.25">
      <c r="B8" s="1" t="s">
        <v>3</v>
      </c>
      <c r="C8" s="1" t="s">
        <v>13</v>
      </c>
      <c r="D8" s="8">
        <v>9</v>
      </c>
      <c r="E8" s="8">
        <v>10</v>
      </c>
      <c r="F8" s="8">
        <v>9</v>
      </c>
      <c r="G8" s="8">
        <f t="shared" si="0"/>
        <v>9.3333333333333339</v>
      </c>
      <c r="H8" s="1" t="str">
        <f ca="1">LOOKUP(G8,C$14:C$19,B$14:B22)</f>
        <v>SOBRESALIENTE</v>
      </c>
    </row>
    <row r="9" spans="2:8" x14ac:dyDescent="0.25">
      <c r="B9" s="1" t="s">
        <v>4</v>
      </c>
      <c r="C9" s="1" t="s">
        <v>14</v>
      </c>
      <c r="D9" s="8">
        <v>8</v>
      </c>
      <c r="E9" s="8">
        <v>8</v>
      </c>
      <c r="F9" s="8">
        <v>10</v>
      </c>
      <c r="G9" s="8">
        <f t="shared" si="0"/>
        <v>8.6666666666666661</v>
      </c>
      <c r="H9" s="1" t="str">
        <f ca="1">LOOKUP(G9,C$14:C$19,B$14:B23)</f>
        <v>NOTABLE</v>
      </c>
    </row>
    <row r="10" spans="2:8" x14ac:dyDescent="0.25">
      <c r="B10" s="1" t="s">
        <v>5</v>
      </c>
      <c r="C10" s="1" t="s">
        <v>13</v>
      </c>
      <c r="D10" s="8">
        <v>0</v>
      </c>
      <c r="E10" s="8">
        <v>3</v>
      </c>
      <c r="F10" s="8">
        <v>0</v>
      </c>
      <c r="G10" s="8">
        <f t="shared" si="0"/>
        <v>1</v>
      </c>
      <c r="H10" s="1" t="str">
        <f ca="1">LOOKUP(G10,C$14:C$19,B$14:B24)</f>
        <v>MUY DEFICIENTE</v>
      </c>
    </row>
    <row r="11" spans="2:8" x14ac:dyDescent="0.25">
      <c r="B11" s="1" t="s">
        <v>6</v>
      </c>
      <c r="C11" s="1" t="s">
        <v>14</v>
      </c>
      <c r="D11" s="8">
        <v>4</v>
      </c>
      <c r="E11" s="8">
        <v>5</v>
      </c>
      <c r="F11" s="8">
        <v>9</v>
      </c>
      <c r="G11" s="8">
        <f t="shared" si="0"/>
        <v>6</v>
      </c>
      <c r="H11" s="1" t="str">
        <f ca="1">LOOKUP(G11,C$14:C$19,B$14:B25)</f>
        <v>BIEN</v>
      </c>
    </row>
    <row r="13" spans="2:8" x14ac:dyDescent="0.25">
      <c r="E13" s="1"/>
      <c r="F13" s="1" t="s">
        <v>23</v>
      </c>
    </row>
    <row r="14" spans="2:8" x14ac:dyDescent="0.25">
      <c r="B14" s="1" t="s">
        <v>15</v>
      </c>
      <c r="C14" s="1">
        <v>0</v>
      </c>
      <c r="E14" s="1" t="s">
        <v>21</v>
      </c>
      <c r="F14" s="1">
        <f>COUNTIF(C5:C11,"H")</f>
        <v>4</v>
      </c>
    </row>
    <row r="15" spans="2:8" x14ac:dyDescent="0.25">
      <c r="B15" s="1" t="s">
        <v>16</v>
      </c>
      <c r="C15" s="1">
        <v>2</v>
      </c>
      <c r="E15" s="1" t="s">
        <v>22</v>
      </c>
      <c r="F15" s="1">
        <f>COUNTIF(C5:C11,"m")</f>
        <v>3</v>
      </c>
    </row>
    <row r="16" spans="2:8" x14ac:dyDescent="0.25">
      <c r="B16" s="1" t="s">
        <v>17</v>
      </c>
      <c r="C16" s="1">
        <v>5</v>
      </c>
    </row>
    <row r="17" spans="2:3" x14ac:dyDescent="0.25">
      <c r="B17" s="1" t="s">
        <v>18</v>
      </c>
      <c r="C17" s="1">
        <v>6</v>
      </c>
    </row>
    <row r="18" spans="2:3" x14ac:dyDescent="0.25">
      <c r="B18" s="1" t="s">
        <v>19</v>
      </c>
      <c r="C18" s="1">
        <v>7</v>
      </c>
    </row>
    <row r="19" spans="2:3" x14ac:dyDescent="0.25">
      <c r="B19" s="1" t="s">
        <v>20</v>
      </c>
      <c r="C19" s="1">
        <v>9</v>
      </c>
    </row>
  </sheetData>
  <mergeCells count="4">
    <mergeCell ref="C3:F3"/>
    <mergeCell ref="B3:B4"/>
    <mergeCell ref="G3:G4"/>
    <mergeCell ref="H3:H4"/>
  </mergeCells>
  <conditionalFormatting sqref="D5:F11">
    <cfRule type="cellIs" dxfId="6" priority="6" operator="equal">
      <formula>0</formula>
    </cfRule>
    <cfRule type="cellIs" dxfId="5" priority="5" operator="equal">
      <formula>10</formula>
    </cfRule>
    <cfRule type="cellIs" dxfId="4" priority="4" operator="between">
      <formula>"0.01"</formula>
      <formula>"4.99"</formula>
    </cfRule>
    <cfRule type="cellIs" dxfId="3" priority="3" operator="between">
      <formula>5</formula>
      <formula>10</formula>
    </cfRule>
  </conditionalFormatting>
  <conditionalFormatting sqref="G5:G11">
    <cfRule type="cellIs" dxfId="2" priority="2" operator="between">
      <formula>0</formula>
      <formula>"4.99"</formula>
    </cfRule>
    <cfRule type="cellIs" dxfId="1" priority="1" operator="between">
      <formula>5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chui y pabel se aman</cp:lastModifiedBy>
  <dcterms:created xsi:type="dcterms:W3CDTF">2017-08-25T16:06:01Z</dcterms:created>
  <dcterms:modified xsi:type="dcterms:W3CDTF">2026-08-21T00:40:24Z</dcterms:modified>
</cp:coreProperties>
</file>